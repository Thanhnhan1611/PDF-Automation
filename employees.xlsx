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200"/>
  </bookViews>
  <sheets>
    <sheet name="BangLuong" sheetId="1" r:id="rId1"/>
    <sheet name="HuongDan" sheetId="2" r:id="rId2"/>
  </sheets>
  <definedNames>
    <definedName name="_xlnm._FilterDatabase" localSheetId="0" hidden="1">BangLuong!$A$1:$U$11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<sst xmlns="http://schemas.openxmlformats.org/spreadsheetml/2006/main" count="82" uniqueCount="80">
  <si>
    <t>Mã NV</t>
  </si>
  <si>
    <t>Tên NV</t>
  </si>
  <si>
    <t>Chức vụ</t>
  </si>
  <si>
    <t>Lương cơ bản</t>
  </si>
  <si>
    <t>Lương đóng BHXH</t>
  </si>
  <si>
    <t>Ngày công chuẩn</t>
  </si>
  <si>
    <t>Ngày công đi làm</t>
  </si>
  <si>
    <t>Thưởng</t>
  </si>
  <si>
    <t>Phụ cấp</t>
  </si>
  <si>
    <t>Số người phụ thuộc</t>
  </si>
  <si>
    <t>Phạt</t>
  </si>
  <si>
    <t>Lương theo ngày</t>
  </si>
  <si>
    <t>Lương thực tế</t>
  </si>
  <si>
    <t>Tổng thu nhập</t>
  </si>
  <si>
    <t>BHXH</t>
  </si>
  <si>
    <t>BHYT</t>
  </si>
  <si>
    <t>BHTN</t>
  </si>
  <si>
    <t>Thu nhập tính thuế</t>
  </si>
  <si>
    <t>Thuế TNCN</t>
  </si>
  <si>
    <t>Tổng khấu trừ</t>
  </si>
  <si>
    <t>Thực lãnh</t>
  </si>
  <si>
    <t>NV001</t>
  </si>
  <si>
    <t>Nguyễn Văn An</t>
  </si>
  <si>
    <t>Lập trình viên</t>
  </si>
  <si>
    <t>NV002</t>
  </si>
  <si>
    <t>Trần Thị Bình</t>
  </si>
  <si>
    <t>Tester</t>
  </si>
  <si>
    <t>NV003</t>
  </si>
  <si>
    <t>Lê Văn Cường</t>
  </si>
  <si>
    <t>Backend Developer</t>
  </si>
  <si>
    <t>NV004</t>
  </si>
  <si>
    <t>Phạm Minh Đức</t>
  </si>
  <si>
    <t>Frontend Developer</t>
  </si>
  <si>
    <t>NV005</t>
  </si>
  <si>
    <t>Hoàng Thị Lan</t>
  </si>
  <si>
    <t>UI/UX Designer</t>
  </si>
  <si>
    <t>NV006</t>
  </si>
  <si>
    <t>Đỗ Minh Hoàng</t>
  </si>
  <si>
    <t>Data Engineer</t>
  </si>
  <si>
    <t>NV007</t>
  </si>
  <si>
    <t>Vũ Thanh Hằng</t>
  </si>
  <si>
    <t>HR</t>
  </si>
  <si>
    <t>NV008</t>
  </si>
  <si>
    <t>Nguyễn Quốc Khánh</t>
  </si>
  <si>
    <t>DevOps Engineer</t>
  </si>
  <si>
    <t>NV009</t>
  </si>
  <si>
    <t>Phan Thị Mai</t>
  </si>
  <si>
    <t>Business Analyst</t>
  </si>
  <si>
    <t>NV010</t>
  </si>
  <si>
    <t>Trần Minh Quân</t>
  </si>
  <si>
    <t>Machine Learning Engineer</t>
  </si>
  <si>
    <t>NV011</t>
  </si>
  <si>
    <t>Võ Nhật Huy Vũ</t>
  </si>
  <si>
    <t>BOSS</t>
  </si>
  <si>
    <t>HƯỚNG DẪN SỬ DỤNG BẢNG LƯƠNG</t>
  </si>
  <si>
    <t/>
  </si>
  <si>
    <t>Các cột màu dữ liệu đầu vào:</t>
  </si>
  <si>
    <t>Nhập / chỉnh sửa trực tiếp</t>
  </si>
  <si>
    <t>Các cột tính toán:</t>
  </si>
  <si>
    <t>Excel tự động tính bằng công thức</t>
  </si>
  <si>
    <t>Công thức lương thực tế:</t>
  </si>
  <si>
    <t>Lương cơ bản / Ngày công chuẩn × Ngày công đi làm</t>
  </si>
  <si>
    <t>Tổng thu nhập:</t>
  </si>
  <si>
    <t>Lương thực tế + Thưởng + Phụ cấp</t>
  </si>
  <si>
    <t>BHXH:</t>
  </si>
  <si>
    <t>8% × Lương đóng BHXH</t>
  </si>
  <si>
    <t>BHYT:</t>
  </si>
  <si>
    <t>1,5% × Lương đóng BHXH</t>
  </si>
  <si>
    <t>BHTN:</t>
  </si>
  <si>
    <t>1% × Lương đóng BHXH</t>
  </si>
  <si>
    <t>Giảm trừ bản thân:</t>
  </si>
  <si>
    <t>15.500.000 VNĐ/tháng</t>
  </si>
  <si>
    <t>Giảm trừ người phụ thuộc:</t>
  </si>
  <si>
    <t>6.200.000 VNĐ/người/tháng</t>
  </si>
  <si>
    <t>Tổng khấu trừ:</t>
  </si>
  <si>
    <t>BHXH + BHYT + BHTN + Thuế TNCN + Phạt</t>
  </si>
  <si>
    <t>Thực lãnh:</t>
  </si>
  <si>
    <t>Tổng thu nhập - Tổng khấu trừ</t>
  </si>
  <si>
    <t>Lưu ý:</t>
  </si>
  <si>
    <t>Các công thức thuế/bảo hiểm được thiết lập cho mục đích minh họa bài A3.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</si>
</sst>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\ &quot;VNĐ&quot;"/>
  </numFmts>
  <fonts count="22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topLeftCell="B1" workbookViewId="0">
      <pane ySplit="1" topLeftCell="A2" activePane="bottomLeft" state="frozen"/>
      <selection/>
      <selection pane="bottomLeft" activeCell="I14" sqref="I14"/>
    </sheetView>
  </sheetViews>
  <sheetFormatPr defaultColWidth="9" defaultRowHeight="14.5"/>
  <cols>
    <col min="1" max="1" width="12" customWidth="1"/>
    <col min="2" max="3" width="25" customWidth="1"/>
    <col min="4" max="4" width="18" customWidth="1"/>
    <col min="5" max="5" width="20" customWidth="1"/>
    <col min="6" max="6" width="18" customWidth="1"/>
    <col min="7" max="7" width="20" customWidth="1"/>
    <col min="8" max="9" width="18" customWidth="1"/>
    <col min="10" max="10" width="20" customWidth="1"/>
    <col min="11" max="11" width="18" customWidth="1"/>
    <col min="12" max="14" width="20" customWidth="1"/>
    <col min="15" max="17" width="18" customWidth="1"/>
    <col min="18" max="18" width="22" customWidth="1"/>
    <col min="19" max="19" width="18" customWidth="1"/>
    <col min="20" max="21" width="20" customWidth="1"/>
  </cols>
  <sheetData>
    <row r="1" ht="40" customHeigh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 t="s">
        <v>21</v>
      </c>
      <c r="B2" s="3" t="s">
        <v>22</v>
      </c>
      <c r="C2" s="3" t="s">
        <v>23</v>
      </c>
      <c r="D2" s="4">
        <v>15000000</v>
      </c>
      <c r="E2" s="4">
        <v>15000000</v>
      </c>
      <c r="F2" s="3">
        <v>26</v>
      </c>
      <c r="G2" s="3">
        <v>25</v>
      </c>
      <c r="H2" s="4">
        <v>2000000</v>
      </c>
      <c r="I2" s="4">
        <v>1000000</v>
      </c>
      <c r="J2" s="3">
        <v>0</v>
      </c>
      <c r="K2" s="4">
        <v>500000</v>
      </c>
      <c r="L2" s="4">
        <f t="shared" ref="L2:L11" si="0">IFERROR(D2/F2,0)</f>
        <v>576923.076923077</v>
      </c>
      <c r="M2" s="4">
        <f t="shared" ref="M2:M11" si="1">ROUND(L2*G2,0)</f>
        <v>14423077</v>
      </c>
      <c r="N2" s="4">
        <f t="shared" ref="N2:N11" si="2">SUM(M2,H2,I2)</f>
        <v>17423077</v>
      </c>
      <c r="O2" s="4">
        <f t="shared" ref="O2:O11" si="3">ROUND(E2*8%,0)</f>
        <v>1200000</v>
      </c>
      <c r="P2" s="4">
        <f t="shared" ref="P2:P11" si="4">ROUND(E2*1.5%,0)</f>
        <v>225000</v>
      </c>
      <c r="Q2" s="4">
        <f t="shared" ref="Q2:Q11" si="5">ROUND(E2*1%,0)</f>
        <v>150000</v>
      </c>
      <c r="R2" s="4">
        <f t="shared" ref="R2:R11" si="6">MAX(0,N2-O2-P2-Q2-15500000-(J2*6200000))</f>
        <v>348077</v>
      </c>
      <c r="S2" s="4">
        <f t="shared" ref="S2:S11" si="7">IF(R2&lt;=10000000,R2*5%,IF(R2&lt;=30000000,R2*10%-500000,IF(R2&lt;=60000000,R2*20%-3500000,IF(R2&lt;=100000000,R2*30%-9500000,R2*35%-14500000))))</f>
        <v>17403.85</v>
      </c>
      <c r="T2" s="4">
        <f t="shared" ref="T2:T11" si="8">SUM(O2,P2,Q2,S2,K2)</f>
        <v>2092403.85</v>
      </c>
      <c r="U2" s="4">
        <f t="shared" ref="U2:U11" si="9">N2-T2</f>
        <v>15330673.15</v>
      </c>
    </row>
    <row r="3" spans="1:21">
      <c r="A3" s="3" t="s">
        <v>24</v>
      </c>
      <c r="B3" s="3" t="s">
        <v>25</v>
      </c>
      <c r="C3" s="3" t="s">
        <v>26</v>
      </c>
      <c r="D3" s="4">
        <v>12000000</v>
      </c>
      <c r="E3" s="4">
        <v>12000000</v>
      </c>
      <c r="F3" s="3">
        <v>26</v>
      </c>
      <c r="G3" s="3">
        <v>26</v>
      </c>
      <c r="H3" s="4">
        <v>1500000</v>
      </c>
      <c r="I3" s="4">
        <v>500000</v>
      </c>
      <c r="J3" s="3">
        <v>0</v>
      </c>
      <c r="K3" s="4">
        <v>200000</v>
      </c>
      <c r="L3" s="4">
        <f t="shared" si="0"/>
        <v>461538.461538462</v>
      </c>
      <c r="M3" s="4">
        <f t="shared" si="1"/>
        <v>12000000</v>
      </c>
      <c r="N3" s="4">
        <f t="shared" si="2"/>
        <v>14000000</v>
      </c>
      <c r="O3" s="4">
        <f t="shared" si="3"/>
        <v>960000</v>
      </c>
      <c r="P3" s="4">
        <f t="shared" si="4"/>
        <v>180000</v>
      </c>
      <c r="Q3" s="4">
        <f t="shared" si="5"/>
        <v>120000</v>
      </c>
      <c r="R3" s="4">
        <f t="shared" si="6"/>
        <v>0</v>
      </c>
      <c r="S3" s="4">
        <f t="shared" si="7"/>
        <v>0</v>
      </c>
      <c r="T3" s="4">
        <f t="shared" si="8"/>
        <v>1460000</v>
      </c>
      <c r="U3" s="4">
        <f t="shared" si="9"/>
        <v>12540000</v>
      </c>
    </row>
    <row r="4" spans="1:21">
      <c r="A4" s="3" t="s">
        <v>27</v>
      </c>
      <c r="B4" s="3" t="s">
        <v>28</v>
      </c>
      <c r="C4" s="3" t="s">
        <v>29</v>
      </c>
      <c r="D4" s="4">
        <v>18000000</v>
      </c>
      <c r="E4" s="4">
        <v>18000000</v>
      </c>
      <c r="F4" s="3">
        <v>26</v>
      </c>
      <c r="G4" s="3">
        <v>24</v>
      </c>
      <c r="H4" s="4">
        <v>3000000</v>
      </c>
      <c r="I4" s="4">
        <v>1500000</v>
      </c>
      <c r="J4" s="3">
        <v>0</v>
      </c>
      <c r="K4" s="4">
        <v>300000</v>
      </c>
      <c r="L4" s="4">
        <f t="shared" si="0"/>
        <v>692307.692307692</v>
      </c>
      <c r="M4" s="4">
        <f t="shared" si="1"/>
        <v>16615385</v>
      </c>
      <c r="N4" s="4">
        <f t="shared" si="2"/>
        <v>21115385</v>
      </c>
      <c r="O4" s="4">
        <f t="shared" si="3"/>
        <v>1440000</v>
      </c>
      <c r="P4" s="4">
        <f t="shared" si="4"/>
        <v>270000</v>
      </c>
      <c r="Q4" s="4">
        <f t="shared" si="5"/>
        <v>180000</v>
      </c>
      <c r="R4" s="4">
        <f t="shared" si="6"/>
        <v>3725385</v>
      </c>
      <c r="S4" s="4">
        <f t="shared" si="7"/>
        <v>186269.25</v>
      </c>
      <c r="T4" s="4">
        <f t="shared" si="8"/>
        <v>2376269.25</v>
      </c>
      <c r="U4" s="4">
        <f t="shared" si="9"/>
        <v>18739115.75</v>
      </c>
    </row>
    <row r="5" spans="1:21">
      <c r="A5" s="3" t="s">
        <v>30</v>
      </c>
      <c r="B5" s="3" t="s">
        <v>31</v>
      </c>
      <c r="C5" s="3" t="s">
        <v>32</v>
      </c>
      <c r="D5" s="4">
        <v>16000000</v>
      </c>
      <c r="E5" s="4">
        <v>16000000</v>
      </c>
      <c r="F5" s="3">
        <v>26</v>
      </c>
      <c r="G5" s="3">
        <v>26</v>
      </c>
      <c r="H5" s="4">
        <v>2500000</v>
      </c>
      <c r="I5" s="4">
        <v>1000000</v>
      </c>
      <c r="J5" s="3">
        <v>1</v>
      </c>
      <c r="K5" s="4">
        <v>0</v>
      </c>
      <c r="L5" s="4">
        <f t="shared" si="0"/>
        <v>615384.615384615</v>
      </c>
      <c r="M5" s="4">
        <f t="shared" si="1"/>
        <v>16000000</v>
      </c>
      <c r="N5" s="4">
        <f t="shared" si="2"/>
        <v>19500000</v>
      </c>
      <c r="O5" s="4">
        <f t="shared" si="3"/>
        <v>1280000</v>
      </c>
      <c r="P5" s="4">
        <f t="shared" si="4"/>
        <v>240000</v>
      </c>
      <c r="Q5" s="4">
        <f t="shared" si="5"/>
        <v>160000</v>
      </c>
      <c r="R5" s="4">
        <f t="shared" si="6"/>
        <v>0</v>
      </c>
      <c r="S5" s="4">
        <f t="shared" si="7"/>
        <v>0</v>
      </c>
      <c r="T5" s="4">
        <f t="shared" si="8"/>
        <v>1680000</v>
      </c>
      <c r="U5" s="4">
        <f t="shared" si="9"/>
        <v>17820000</v>
      </c>
    </row>
    <row r="6" spans="1:21">
      <c r="A6" s="3" t="s">
        <v>33</v>
      </c>
      <c r="B6" s="3" t="s">
        <v>34</v>
      </c>
      <c r="C6" s="3" t="s">
        <v>35</v>
      </c>
      <c r="D6" s="4">
        <v>13000000</v>
      </c>
      <c r="E6" s="4">
        <v>13000000</v>
      </c>
      <c r="F6" s="3">
        <v>26</v>
      </c>
      <c r="G6" s="3">
        <v>25</v>
      </c>
      <c r="H6" s="4">
        <v>1800000</v>
      </c>
      <c r="I6" s="4">
        <v>800000</v>
      </c>
      <c r="J6" s="3">
        <v>0</v>
      </c>
      <c r="K6" s="4">
        <v>100000</v>
      </c>
      <c r="L6" s="4">
        <f t="shared" si="0"/>
        <v>500000</v>
      </c>
      <c r="M6" s="4">
        <f t="shared" si="1"/>
        <v>12500000</v>
      </c>
      <c r="N6" s="4">
        <f t="shared" si="2"/>
        <v>15100000</v>
      </c>
      <c r="O6" s="4">
        <f t="shared" si="3"/>
        <v>1040000</v>
      </c>
      <c r="P6" s="4">
        <f t="shared" si="4"/>
        <v>195000</v>
      </c>
      <c r="Q6" s="4">
        <f t="shared" si="5"/>
        <v>130000</v>
      </c>
      <c r="R6" s="4">
        <f t="shared" si="6"/>
        <v>0</v>
      </c>
      <c r="S6" s="4">
        <f t="shared" si="7"/>
        <v>0</v>
      </c>
      <c r="T6" s="4">
        <f t="shared" si="8"/>
        <v>1465000</v>
      </c>
      <c r="U6" s="4">
        <f t="shared" si="9"/>
        <v>13635000</v>
      </c>
    </row>
    <row r="7" spans="1:21">
      <c r="A7" s="3" t="s">
        <v>36</v>
      </c>
      <c r="B7" s="3" t="s">
        <v>37</v>
      </c>
      <c r="C7" s="3" t="s">
        <v>38</v>
      </c>
      <c r="D7" s="4">
        <v>20000000</v>
      </c>
      <c r="E7" s="4">
        <v>20000000</v>
      </c>
      <c r="F7" s="3">
        <v>26</v>
      </c>
      <c r="G7" s="3">
        <v>26</v>
      </c>
      <c r="H7" s="4">
        <v>4000000</v>
      </c>
      <c r="I7" s="4">
        <v>2000000</v>
      </c>
      <c r="J7" s="3">
        <v>1</v>
      </c>
      <c r="K7" s="4">
        <v>500000</v>
      </c>
      <c r="L7" s="4">
        <f t="shared" si="0"/>
        <v>769230.769230769</v>
      </c>
      <c r="M7" s="4">
        <f t="shared" si="1"/>
        <v>20000000</v>
      </c>
      <c r="N7" s="4">
        <f t="shared" si="2"/>
        <v>26000000</v>
      </c>
      <c r="O7" s="4">
        <f t="shared" si="3"/>
        <v>1600000</v>
      </c>
      <c r="P7" s="4">
        <f t="shared" si="4"/>
        <v>300000</v>
      </c>
      <c r="Q7" s="4">
        <f t="shared" si="5"/>
        <v>200000</v>
      </c>
      <c r="R7" s="4">
        <f t="shared" si="6"/>
        <v>2200000</v>
      </c>
      <c r="S7" s="4">
        <f t="shared" si="7"/>
        <v>110000</v>
      </c>
      <c r="T7" s="4">
        <f t="shared" si="8"/>
        <v>2710000</v>
      </c>
      <c r="U7" s="4">
        <f t="shared" si="9"/>
        <v>23290000</v>
      </c>
    </row>
    <row r="8" spans="1:21">
      <c r="A8" s="3" t="s">
        <v>39</v>
      </c>
      <c r="B8" s="3" t="s">
        <v>40</v>
      </c>
      <c r="C8" s="3" t="s">
        <v>41</v>
      </c>
      <c r="D8" s="4">
        <v>11000000</v>
      </c>
      <c r="E8" s="4">
        <v>11000000</v>
      </c>
      <c r="F8" s="3">
        <v>26</v>
      </c>
      <c r="G8" s="3">
        <v>25</v>
      </c>
      <c r="H8" s="4">
        <v>1000000</v>
      </c>
      <c r="I8" s="4">
        <v>500000</v>
      </c>
      <c r="J8" s="3">
        <v>0</v>
      </c>
      <c r="K8" s="4">
        <v>0</v>
      </c>
      <c r="L8" s="4">
        <f t="shared" si="0"/>
        <v>423076.923076923</v>
      </c>
      <c r="M8" s="4">
        <f t="shared" si="1"/>
        <v>10576923</v>
      </c>
      <c r="N8" s="4">
        <f t="shared" si="2"/>
        <v>12076923</v>
      </c>
      <c r="O8" s="4">
        <f t="shared" si="3"/>
        <v>880000</v>
      </c>
      <c r="P8" s="4">
        <f t="shared" si="4"/>
        <v>165000</v>
      </c>
      <c r="Q8" s="4">
        <f t="shared" si="5"/>
        <v>110000</v>
      </c>
      <c r="R8" s="4">
        <f t="shared" si="6"/>
        <v>0</v>
      </c>
      <c r="S8" s="4">
        <f t="shared" si="7"/>
        <v>0</v>
      </c>
      <c r="T8" s="4">
        <f t="shared" si="8"/>
        <v>1155000</v>
      </c>
      <c r="U8" s="4">
        <f t="shared" si="9"/>
        <v>10921923</v>
      </c>
    </row>
    <row r="9" spans="1:21">
      <c r="A9" s="3" t="s">
        <v>42</v>
      </c>
      <c r="B9" s="3" t="s">
        <v>43</v>
      </c>
      <c r="C9" s="3" t="s">
        <v>44</v>
      </c>
      <c r="D9" s="4">
        <v>22000000</v>
      </c>
      <c r="E9" s="4">
        <v>22000000</v>
      </c>
      <c r="F9" s="3">
        <v>26</v>
      </c>
      <c r="G9" s="3">
        <v>26</v>
      </c>
      <c r="H9" s="4">
        <v>5000000</v>
      </c>
      <c r="I9" s="4">
        <v>2500000</v>
      </c>
      <c r="J9" s="3">
        <v>1</v>
      </c>
      <c r="K9" s="4">
        <v>300000</v>
      </c>
      <c r="L9" s="4">
        <f t="shared" si="0"/>
        <v>846153.846153846</v>
      </c>
      <c r="M9" s="4">
        <f t="shared" si="1"/>
        <v>22000000</v>
      </c>
      <c r="N9" s="4">
        <f t="shared" si="2"/>
        <v>29500000</v>
      </c>
      <c r="O9" s="4">
        <f t="shared" si="3"/>
        <v>1760000</v>
      </c>
      <c r="P9" s="4">
        <f t="shared" si="4"/>
        <v>330000</v>
      </c>
      <c r="Q9" s="4">
        <f t="shared" si="5"/>
        <v>220000</v>
      </c>
      <c r="R9" s="4">
        <f t="shared" si="6"/>
        <v>5490000</v>
      </c>
      <c r="S9" s="4">
        <f t="shared" si="7"/>
        <v>274500</v>
      </c>
      <c r="T9" s="4">
        <f t="shared" si="8"/>
        <v>2884500</v>
      </c>
      <c r="U9" s="4">
        <f t="shared" si="9"/>
        <v>26615500</v>
      </c>
    </row>
    <row r="10" spans="1:21">
      <c r="A10" s="3" t="s">
        <v>45</v>
      </c>
      <c r="B10" s="3" t="s">
        <v>46</v>
      </c>
      <c r="C10" s="3" t="s">
        <v>47</v>
      </c>
      <c r="D10" s="4">
        <v>14000000</v>
      </c>
      <c r="E10" s="4">
        <v>14000000</v>
      </c>
      <c r="F10" s="3">
        <v>26</v>
      </c>
      <c r="G10" s="3">
        <v>24</v>
      </c>
      <c r="H10" s="4">
        <v>2000000</v>
      </c>
      <c r="I10" s="4">
        <v>1000000</v>
      </c>
      <c r="J10" s="3">
        <v>0</v>
      </c>
      <c r="K10" s="4">
        <v>200000</v>
      </c>
      <c r="L10" s="4">
        <f t="shared" si="0"/>
        <v>538461.538461538</v>
      </c>
      <c r="M10" s="4">
        <f t="shared" si="1"/>
        <v>12923077</v>
      </c>
      <c r="N10" s="4">
        <f t="shared" si="2"/>
        <v>15923077</v>
      </c>
      <c r="O10" s="4">
        <f t="shared" si="3"/>
        <v>1120000</v>
      </c>
      <c r="P10" s="4">
        <f t="shared" si="4"/>
        <v>210000</v>
      </c>
      <c r="Q10" s="4">
        <f t="shared" si="5"/>
        <v>140000</v>
      </c>
      <c r="R10" s="4">
        <f t="shared" si="6"/>
        <v>0</v>
      </c>
      <c r="S10" s="4">
        <f t="shared" si="7"/>
        <v>0</v>
      </c>
      <c r="T10" s="4">
        <f t="shared" si="8"/>
        <v>1670000</v>
      </c>
      <c r="U10" s="4">
        <f t="shared" si="9"/>
        <v>14253077</v>
      </c>
    </row>
    <row r="11" spans="1:21">
      <c r="A11" s="3" t="s">
        <v>48</v>
      </c>
      <c r="B11" s="3" t="s">
        <v>49</v>
      </c>
      <c r="C11" s="3" t="s">
        <v>50</v>
      </c>
      <c r="D11" s="4">
        <v>25000000</v>
      </c>
      <c r="E11" s="4">
        <v>25000000</v>
      </c>
      <c r="F11" s="3">
        <v>26</v>
      </c>
      <c r="G11" s="3">
        <v>26</v>
      </c>
      <c r="H11" s="4">
        <v>6000000</v>
      </c>
      <c r="I11" s="4">
        <v>3000000</v>
      </c>
      <c r="J11" s="3">
        <v>2</v>
      </c>
      <c r="K11" s="4">
        <v>0</v>
      </c>
      <c r="L11" s="4">
        <f t="shared" si="0"/>
        <v>961538.461538461</v>
      </c>
      <c r="M11" s="4">
        <f t="shared" si="1"/>
        <v>25000000</v>
      </c>
      <c r="N11" s="4">
        <f t="shared" si="2"/>
        <v>34000000</v>
      </c>
      <c r="O11" s="4">
        <f t="shared" si="3"/>
        <v>2000000</v>
      </c>
      <c r="P11" s="4">
        <f t="shared" si="4"/>
        <v>375000</v>
      </c>
      <c r="Q11" s="4">
        <f t="shared" si="5"/>
        <v>250000</v>
      </c>
      <c r="R11" s="4">
        <f t="shared" si="6"/>
        <v>3475000</v>
      </c>
      <c r="S11" s="4">
        <f t="shared" si="7"/>
        <v>173750</v>
      </c>
      <c r="T11" s="4">
        <f t="shared" si="8"/>
        <v>2798750</v>
      </c>
      <c r="U11" s="4">
        <f t="shared" si="9"/>
        <v>31201250</v>
      </c>
    </row>
    <row r="12" spans="1:21">
      <c r="A12" s="3" t="s">
        <v>51</v>
      </c>
      <c r="B12" s="3" t="s">
        <v>52</v>
      </c>
      <c r="C12" s="3" t="s">
        <v>53</v>
      </c>
      <c r="D12" s="4">
        <v>30000000</v>
      </c>
      <c r="E12" s="4">
        <v>30000000</v>
      </c>
      <c r="F12" s="3">
        <v>27</v>
      </c>
      <c r="G12" s="3">
        <v>27</v>
      </c>
      <c r="H12" s="4">
        <v>6000000</v>
      </c>
      <c r="I12" s="4">
        <v>3000000</v>
      </c>
      <c r="J12" s="5">
        <v>0</v>
      </c>
      <c r="K12" s="5">
        <v>0</v>
      </c>
      <c r="L12" s="4">
        <f>IFERROR(D12/F12,0)</f>
        <v>1111111.11111111</v>
      </c>
      <c r="M12" s="4">
        <f>ROUND(L12*G12,0)</f>
        <v>30000000</v>
      </c>
      <c r="N12" s="4">
        <f>SUM(M12,H12,I12)</f>
        <v>39000000</v>
      </c>
      <c r="O12" s="4">
        <f>ROUND(E12*8%,0)</f>
        <v>2400000</v>
      </c>
      <c r="P12" s="4">
        <f>ROUND(E12*1.5%,0)</f>
        <v>450000</v>
      </c>
      <c r="Q12" s="4">
        <f>ROUND(E12*1%,0)</f>
        <v>300000</v>
      </c>
      <c r="R12" s="4">
        <f>MAX(0,N12-O12-P12-Q12-15500000-(J12*6200000))</f>
        <v>20350000</v>
      </c>
      <c r="S12" s="4">
        <f>IF(R12&lt;=10000000,R12*5%,IF(R12&lt;=30000000,R12*10%-500000,IF(R12&lt;=60000000,R12*20%-3500000,IF(R12&lt;=100000000,R12*30%-9500000,R12*35%-14500000))))</f>
        <v>1535000</v>
      </c>
      <c r="T12" s="4">
        <f>SUM(O12,P12,Q12,S12,K12)</f>
        <v>4685000</v>
      </c>
      <c r="U12" s="4">
        <f>N12-T12</f>
        <v>34315000</v>
      </c>
    </row>
  </sheetData>
  <autoFilter xmlns:etc="http://www.wps.cn/officeDocument/2017/etCustomData" ref="A1:U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4.5" outlineLevelCol="1"/>
  <cols>
    <col min="1" max="1" width="35" customWidth="1"/>
    <col min="2" max="2" width="75" customWidth="1"/>
  </cols>
  <sheetData>
    <row r="1" ht="21" spans="1:2">
      <c r="A1" s="1" t="s">
        <v>54</v>
      </c>
    </row>
    <row r="2" spans="1:2">
      <c r="A2" t="s">
        <v>55</v>
      </c>
    </row>
    <row r="3" spans="1:2">
      <c r="A3" t="s">
        <v>56</v>
      </c>
      <c r="B3" t="s">
        <v>57</v>
      </c>
    </row>
    <row r="4" spans="1:2">
      <c r="A4" t="s">
        <v>58</v>
      </c>
      <c r="B4" t="s">
        <v>59</v>
      </c>
    </row>
    <row r="5" spans="1:2">
      <c r="A5" t="s">
        <v>55</v>
      </c>
    </row>
    <row r="6" spans="1:2">
      <c r="A6" t="s">
        <v>60</v>
      </c>
      <c r="B6" t="s">
        <v>61</v>
      </c>
    </row>
    <row r="7" spans="1:2">
      <c r="A7" t="s">
        <v>62</v>
      </c>
      <c r="B7" t="s">
        <v>63</v>
      </c>
    </row>
    <row r="8" spans="1:2">
      <c r="A8" t="s">
        <v>64</v>
      </c>
      <c r="B8" t="s">
        <v>65</v>
      </c>
    </row>
    <row r="9" spans="1:2">
      <c r="A9" t="s">
        <v>66</v>
      </c>
      <c r="B9" t="s">
        <v>67</v>
      </c>
    </row>
    <row r="10" spans="1:2">
      <c r="A10" t="s">
        <v>68</v>
      </c>
      <c r="B10" t="s">
        <v>69</v>
      </c>
    </row>
    <row r="11" spans="1:2">
      <c r="A11" t="s">
        <v>70</v>
      </c>
      <c r="B11" t="s">
        <v>71</v>
      </c>
    </row>
    <row r="12" spans="1:2">
      <c r="A12" t="s">
        <v>72</v>
      </c>
      <c r="B12" t="s">
        <v>73</v>
      </c>
    </row>
    <row r="13" spans="1:2">
      <c r="A13" t="s">
        <v>74</v>
      </c>
      <c r="B13" t="s">
        <v>75</v>
      </c>
    </row>
    <row r="14" spans="1:2">
      <c r="A14" t="s">
        <v>76</v>
      </c>
      <c r="B14" t="s">
        <v>77</v>
      </c>
    </row>
    <row r="15" spans="1:2">
      <c r="A15" t="s">
        <v>55</v>
      </c>
    </row>
    <row r="16" spans="1:2">
      <c r="A16" t="s">
        <v>78</v>
      </c>
      <c r="B16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BangLuong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Nhân</cp:lastModifiedBy>
  <dcterms:created xsi:type="dcterms:W3CDTF">2026-09-17T08:15:00Z</dcterms:created>
  <dcterms:modified xsi:type="dcterms:W3CDTF">2026-09-18T01:12:50Z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FB4BC3A3ED744BCDA75EB40774D7C7F3_12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